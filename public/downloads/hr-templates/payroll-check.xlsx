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04ec3ffca4fb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概览" sheetId="1" ns1:id="R36b1562252c74250"/>
    <sheet name="工资核对表" sheetId="2" ns1:id="R87864274009c440f"/>
  </sheets>
  <definedNames>
    <definedName name="_xlnm.Print_Area" localSheetId="0">'概览'!$A$1:$I$21</definedName>
    <definedName name="_xlnm.Print_Area" localSheetId="1">'工资核对表'!$A$1:$L$37</definedName>
    <definedName name="_xlnm.Print_Titles" localSheetId="1">'工资核对表'!$7:$7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;[Red]-#,##0.00;0.00"/>
    <x:numFmt numFmtId="202" formatCode="#,##0.00"/>
    <x:numFmt numFmtId="203" formatCode="#,##0.00;[Red]-#,##0.00"/>
  </x:numFmts>
  <x:fonts count="12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C4B3F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  <x:font>
      <x:sz val="11"/>
      <x:color rgb="FF233348"/>
      <x:name val="Noto Sans CJK SC"/>
    </x:font>
    <x:font>
      <x:sz val="23"/>
      <x:color rgb="FF233348"/>
      <x:name val="Noto Sans CJK SC"/>
    </x:font>
    <x:font>
      <x:b/>
      <x:sz val="23"/>
      <x:color rgb="FF233348"/>
      <x:name val="Noto Sans CJK SC"/>
    </x:font>
    <x:font>
      <x:sz val="11"/>
      <x:color rgb="FF667085"/>
      <x:name val="Noto Sans CJK SC"/>
    </x:font>
    <x:font>
      <x:sz val="11"/>
      <x:color rgb="FFFFFFFF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5C4B3F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  <x:fill>
      <x:patternFill patternType="solid">
        <x:fgColor rgb="FF253B51"/>
      </x:patternFill>
    </x:fill>
  </x:fills>
  <x:borders count="3">
    <x:border/>
    <x:border>
      <x:bottom style="thin">
        <x:color rgb="FF5C4B3F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201" fontId="1" fillId="6" borderId="2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7" fillId="7" borderId="0" xfId="0" applyNumberFormat="1" applyFont="1" applyFill="1" applyBorder="1"/>
    <x:xf numFmtId="0" fontId="11" fillId="7" borderId="0" xfId="0" applyNumberFormat="1" applyFont="1" applyFill="1" applyBorder="1"/>
    <x:xf numFmtId="203" fontId="7" fillId="0" borderId="0" xfId="0" applyNumberFormat="1" applyFont="1" applyFill="1" applyBorder="1"/>
    <x:xf numFmtId="203" fontId="7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name val="Noto Sans CJK SC"/>
        <x:color rgb="FFB42318"/>
      </x:font>
    </x:dxf>
    <x:dxf>
      <x:font>
        <x:name val="Noto Sans CJK SC"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83b572a0342f3" /><Relationship Type="http://schemas.openxmlformats.org/officeDocument/2006/relationships/theme" Target="/xl/theme/theme1.xml" Id="R3552d19a69304511" /><Relationship Type="http://schemas.openxmlformats.org/officeDocument/2006/relationships/sharedStrings" Target="/xl/sharedStrings.xml" Id="R7d487b90d0aa4855" /><Relationship Type="http://schemas.openxmlformats.org/officeDocument/2006/relationships/worksheet" Target="/xl/worksheets/sheet1.xml" Id="R36b1562252c74250" /><Relationship Type="http://schemas.openxmlformats.org/officeDocument/2006/relationships/worksheet" Target="/xl/worksheets/sheet2.xml" Id="R87864274009c44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2e7821435241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填写后自动更新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汇总结果</c:v>
          </c:tx>
          <c:cat>
            <c:strRef>
              <c:f>'概览'!$A$6:$A$11</c:f>
              <c:strCache>
                <c:ptCount val="0"/>
              </c:strCache>
            </c:strRef>
          </c:cat>
          <c:val>
            <c:numRef>
              <c:f>'概览'!$B$6:$B$11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2e7821435241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payroll_check" displayName="T_payroll_check" ref="A7:L36" headerRowCount="1" totalsRowCount="0" totalsRowShown="0">
  <x:tableColumns count="12">
    <x:tableColumn id="1" name="工资月份"/>
    <x:tableColumn id="2" name="员工编号"/>
    <x:tableColumn id="3" name="基本工资"/>
    <x:tableColumn id="4" name="浮动工资"/>
    <x:tableColumn id="5" name="津贴补贴"/>
    <x:tableColumn id="6" name="应发合计（自动）"/>
    <x:tableColumn id="7" name="个人社保"/>
    <x:tableColumn id="8" name="个人公积金"/>
    <x:tableColumn id="9" name="个税"/>
    <x:tableColumn id="10" name="其他扣款"/>
    <x:tableColumn id="11" name="实发金额（自动）"/>
    <x:tableColumn id="12" name="核对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7e8ea8505341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b30e6ce52747bb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53B51"/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9" customHeight="1">
      <c r="A1" s="31"/>
      <c r="B1" s="31"/>
      <c r="C1" s="31"/>
      <c r="D1" s="31"/>
      <c r="E1" s="31"/>
      <c r="F1" s="31"/>
      <c r="G1" s="31"/>
      <c r="H1" s="31"/>
    </row>
    <row r="2" ht="42" customHeight="1">
      <c r="A2" s="33" t="str">
        <v>工资核对表 · 概览</v>
      </c>
      <c r="B2" s="31"/>
      <c r="C2" s="31"/>
      <c r="D2" s="31"/>
      <c r="E2" s="31"/>
      <c r="F2" s="31"/>
      <c r="G2" s="31"/>
      <c r="H2" s="31"/>
    </row>
    <row r="3" ht="29" customHeight="1">
      <c r="A3" s="34" t="str">
        <v>在第二个工作表填写明细，本页自动汇总全部29个预留数据行。</v>
      </c>
      <c r="B3" s="31"/>
      <c r="C3" s="31"/>
      <c r="D3" s="31"/>
      <c r="E3" s="31"/>
      <c r="F3" s="31"/>
      <c r="G3" s="31"/>
      <c r="H3" s="31"/>
    </row>
    <row r="4" ht="29" customHeight="1">
      <c r="A4" s="31"/>
      <c r="B4" s="31"/>
      <c r="C4" s="31"/>
      <c r="D4" s="31"/>
      <c r="E4" s="31"/>
      <c r="F4" s="31"/>
      <c r="G4" s="31"/>
      <c r="H4" s="31"/>
    </row>
    <row r="5" ht="29" customHeight="1">
      <c r="A5" s="36" t="str">
        <v>指标</v>
      </c>
      <c r="B5" s="36" t="str">
        <v>汇总结果</v>
      </c>
      <c r="C5" s="36" t="str">
        <v>单位</v>
      </c>
      <c r="D5" s="31"/>
      <c r="E5" s="31"/>
      <c r="F5" s="31"/>
      <c r="G5" s="31"/>
      <c r="H5" s="31"/>
    </row>
    <row r="6" ht="38" customHeight="1">
      <c r="A6" s="31" t="str">
        <v>应发合计</v>
      </c>
      <c r="B6" s="38" t="n">
        <f>SUM('工资核对表'!F8:F36)</f>
        <v>0</v>
      </c>
      <c r="C6" s="31" t="str">
        <v>元</v>
      </c>
      <c r="D6" s="31"/>
      <c r="E6" s="31"/>
      <c r="F6" s="31"/>
      <c r="G6" s="31"/>
      <c r="H6" s="31"/>
    </row>
    <row r="7" ht="38" customHeight="1">
      <c r="A7" s="31" t="str">
        <v>个人社保</v>
      </c>
      <c r="B7" s="38" t="n">
        <f>SUM('工资核对表'!G8:G36)</f>
        <v>0</v>
      </c>
      <c r="C7" s="31" t="str">
        <v>元</v>
      </c>
      <c r="D7" s="31"/>
      <c r="E7" s="31"/>
      <c r="F7" s="31"/>
      <c r="G7" s="31"/>
      <c r="H7" s="31"/>
    </row>
    <row r="8" ht="38" customHeight="1">
      <c r="A8" s="31" t="str">
        <v>个人公积金</v>
      </c>
      <c r="B8" s="38" t="n">
        <f>SUM('工资核对表'!H8:H36)</f>
        <v>0</v>
      </c>
      <c r="C8" s="31" t="str">
        <v>元</v>
      </c>
      <c r="D8" s="31"/>
      <c r="E8" s="31"/>
      <c r="F8" s="31"/>
      <c r="G8" s="31"/>
      <c r="H8" s="31"/>
    </row>
    <row r="9" ht="38" customHeight="1">
      <c r="A9" s="31" t="str">
        <v>个税扣款</v>
      </c>
      <c r="B9" s="38" t="n">
        <f>SUM('工资核对表'!I8:I36)</f>
        <v>0</v>
      </c>
      <c r="C9" s="31" t="str">
        <v>元</v>
      </c>
      <c r="D9" s="31"/>
      <c r="E9" s="31"/>
      <c r="F9" s="31"/>
      <c r="G9" s="31"/>
      <c r="H9" s="31"/>
    </row>
    <row r="10" ht="38" customHeight="1">
      <c r="A10" s="31" t="str">
        <v>其他扣款</v>
      </c>
      <c r="B10" s="38" t="n">
        <f>SUM('工资核对表'!J8:J36)</f>
        <v>0</v>
      </c>
      <c r="C10" s="31" t="str">
        <v>元</v>
      </c>
      <c r="D10" s="31"/>
      <c r="E10" s="31"/>
      <c r="F10" s="31"/>
      <c r="G10" s="31"/>
      <c r="H10" s="31"/>
    </row>
    <row r="11" ht="38" customHeight="1">
      <c r="A11" s="31" t="str">
        <v>实发合计</v>
      </c>
      <c r="B11" s="38" t="n">
        <f>SUM('工资核对表'!K8:K36)</f>
        <v>0</v>
      </c>
      <c r="C11" s="31" t="str">
        <v>元</v>
      </c>
      <c r="D11" s="31"/>
      <c r="E11" s="31"/>
      <c r="F11" s="31"/>
      <c r="G11" s="31"/>
      <c r="H11" s="31"/>
    </row>
    <row r="12" ht="29" customHeight="1">
      <c r="A12" s="31"/>
      <c r="B12" s="31"/>
      <c r="C12" s="31"/>
      <c r="D12" s="31"/>
      <c r="E12" s="31"/>
      <c r="F12" s="31"/>
      <c r="G12" s="31"/>
      <c r="H12" s="31"/>
    </row>
    <row r="13" ht="29" customHeight="1">
      <c r="A13" s="31"/>
      <c r="B13" s="31"/>
      <c r="C13" s="31"/>
      <c r="D13" s="31"/>
      <c r="E13" s="31"/>
      <c r="F13" s="31"/>
      <c r="G13" s="31"/>
      <c r="H13" s="31"/>
    </row>
    <row r="14" ht="29" customHeight="1">
      <c r="A14" s="31"/>
      <c r="B14" s="31"/>
      <c r="C14" s="31"/>
      <c r="D14" s="31"/>
      <c r="E14" s="31"/>
      <c r="F14" s="31"/>
      <c r="G14" s="31"/>
      <c r="H14" s="31"/>
    </row>
    <row r="15" ht="29" customHeight="1">
      <c r="A15" s="31"/>
      <c r="B15" s="31"/>
      <c r="C15" s="31"/>
      <c r="D15" s="31"/>
      <c r="E15" s="31"/>
      <c r="F15" s="31"/>
      <c r="G15" s="31"/>
      <c r="H15" s="31"/>
    </row>
    <row r="16" ht="29" customHeight="1">
      <c r="A16" s="31"/>
      <c r="B16" s="31"/>
      <c r="C16" s="31"/>
      <c r="D16" s="31"/>
      <c r="E16" s="31"/>
      <c r="F16" s="31"/>
      <c r="G16" s="31"/>
      <c r="H16" s="31"/>
    </row>
    <row r="17" ht="29" customHeight="1">
      <c r="A17" s="31"/>
      <c r="B17" s="31"/>
      <c r="C17" s="31"/>
      <c r="D17" s="31"/>
      <c r="E17" s="31"/>
      <c r="F17" s="31"/>
      <c r="G17" s="31"/>
      <c r="H17" s="31"/>
    </row>
    <row r="18" ht="29" customHeight="1">
      <c r="A18" s="31"/>
      <c r="B18" s="31"/>
      <c r="C18" s="31"/>
      <c r="D18" s="31"/>
      <c r="E18" s="31"/>
      <c r="F18" s="31"/>
      <c r="G18" s="31"/>
      <c r="H18" s="31"/>
    </row>
    <row r="19" ht="29" customHeight="1">
      <c r="A19" s="40" t="str">
        <v>空白明细显示0，仅表示尚无录入数据。汇总不代表数据已齐全；请先检查明细必填输入，再使用总额。概览汇总全部行，不随明细筛选变化。</v>
      </c>
      <c r="B19" s="39"/>
      <c r="C19" s="39"/>
      <c r="D19" s="39"/>
      <c r="E19" s="39"/>
      <c r="F19" s="39"/>
      <c r="G19" s="39"/>
      <c r="H19" s="39"/>
    </row>
    <row r="20" ht="29" customHeight="1">
      <c r="A20" s="39"/>
      <c r="B20" s="39"/>
      <c r="C20" s="39"/>
      <c r="D20" s="39"/>
      <c r="E20" s="39"/>
      <c r="F20" s="39"/>
      <c r="G20" s="39"/>
      <c r="H20" s="39"/>
    </row>
    <row r="21" ht="29" customHeight="1">
      <c r="A21" s="31"/>
      <c r="B21" s="31"/>
      <c r="C21" s="31"/>
      <c r="D21" s="31"/>
      <c r="E21" s="31"/>
      <c r="F21" s="31"/>
      <c r="G21" s="31"/>
      <c r="H21" s="31"/>
    </row>
    <row r="22" ht="29" customHeight="1">
      <c r="A22" s="31"/>
      <c r="B22" s="31"/>
      <c r="C22" s="31"/>
      <c r="D22" s="31"/>
      <c r="E22" s="31"/>
      <c r="F22" s="31"/>
      <c r="G22" s="31"/>
      <c r="H22" s="31"/>
    </row>
    <row r="23" ht="29" customHeight="1">
      <c r="A23" s="31"/>
      <c r="B23" s="31"/>
      <c r="C23" s="31"/>
      <c r="D23" s="31"/>
      <c r="E23" s="31"/>
      <c r="F23" s="31"/>
      <c r="G23" s="31"/>
      <c r="H23" s="31"/>
    </row>
  </sheetData>
  <mergeCells>
    <mergeCell ref="A2:H2"/>
    <mergeCell ref="A3:H3"/>
    <mergeCell ref="A19:H20"/>
  </mergeCells>
  <printOptions horizontalCentered="1"/>
  <pageMargins left="0.25" right="0.25" top="0.35" bottom="0.35" header="0.15" footer="0.15"/>
  <pageSetup paperSize="9" orientation="landscape" fitToWidth="1" fitToHeight="0"/>
  <drawing ns1:id="R1a7e8ea850534175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5C4B3F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7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2" customHeight="1">
      <c r="A2" s="3" t="str">
        <v>工资核对表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0" customHeight="1">
      <c r="A3" s="5" t="str">
        <v>薪资核对  /  核对已计算的工资组成和扣款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40" customHeight="1">
      <c r="A5" s="8" t="str">
        <v>白色 / 浅灰为填写区；浅绿色为自动计算。金额单位：元。基本工资、浮动工资、津贴补贴及扣款均需填数字，无发生额填0。应发=三项收入合计；实发=应发−四项扣款。个税及社保填已核算金额。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>
      <c r="A6" s="10" t="str">
        <v>员工与期间</v>
      </c>
      <c r="B6" s="10"/>
      <c r="C6" s="10" t="str">
        <v>收入构成</v>
      </c>
      <c r="D6" s="10"/>
      <c r="E6" s="10"/>
      <c r="F6" s="10"/>
      <c r="G6" s="10" t="str">
        <v>扣款与实发</v>
      </c>
      <c r="H6" s="10"/>
      <c r="I6" s="10"/>
      <c r="J6" s="10"/>
      <c r="K6" s="10"/>
      <c r="L6" s="10"/>
    </row>
    <row r="7" ht="42" customHeight="1">
      <c r="A7" s="13" t="str">
        <v>工资月份</v>
      </c>
      <c r="B7" s="13" t="str">
        <v>员工编号</v>
      </c>
      <c r="C7" s="13" t="str">
        <v>基本工资</v>
      </c>
      <c r="D7" s="13" t="str">
        <v>浮动工资</v>
      </c>
      <c r="E7" s="13" t="str">
        <v>津贴补贴</v>
      </c>
      <c r="F7" s="13" t="str">
        <v>应发合计（自动）</v>
      </c>
      <c r="G7" s="13" t="str">
        <v>个人社保</v>
      </c>
      <c r="H7" s="13" t="str">
        <v>个人公积金</v>
      </c>
      <c r="I7" s="13" t="str">
        <v>个税</v>
      </c>
      <c r="J7" s="13" t="str">
        <v>其他扣款</v>
      </c>
      <c r="K7" s="13" t="str">
        <v>实发金额（自动）</v>
      </c>
      <c r="L7" s="13" t="str">
        <v>核对人</v>
      </c>
    </row>
    <row r="8" ht="34" customHeight="1">
      <c r="A8" s="20"/>
      <c r="B8" s="20"/>
      <c r="C8" s="22"/>
      <c r="D8" s="22"/>
      <c r="E8" s="22"/>
      <c r="F8" s="25" t="str">
        <f>IF(COUNT(C8:E8)&lt;3,"",ROUND(SUM(C8:E8),2))</f>
      </c>
      <c r="G8" s="22"/>
      <c r="H8" s="22"/>
      <c r="I8" s="22"/>
      <c r="J8" s="22"/>
      <c r="K8" s="25" t="str">
        <f>IF(COUNT(F8:J8)&lt;5,"",ROUND(F8-SUM(G8:J8),2))</f>
      </c>
      <c r="L8" s="20"/>
    </row>
    <row r="9" ht="34" customHeight="1">
      <c r="A9" s="21"/>
      <c r="B9" s="21"/>
      <c r="C9" s="23"/>
      <c r="D9" s="23"/>
      <c r="E9" s="23"/>
      <c r="F9" s="25" t="str">
        <f>IF(COUNT(C9:E9)&lt;3,"",ROUND(SUM(C9:E9),2))</f>
      </c>
      <c r="G9" s="23"/>
      <c r="H9" s="23"/>
      <c r="I9" s="23"/>
      <c r="J9" s="23"/>
      <c r="K9" s="25" t="str">
        <f>IF(COUNT(F9:J9)&lt;5,"",ROUND(F9-SUM(G9:J9),2))</f>
      </c>
      <c r="L9" s="21"/>
    </row>
    <row r="10" ht="34" customHeight="1">
      <c r="A10" s="20"/>
      <c r="B10" s="20"/>
      <c r="C10" s="22"/>
      <c r="D10" s="22"/>
      <c r="E10" s="22"/>
      <c r="F10" s="25" t="str">
        <f>IF(COUNT(C10:E10)&lt;3,"",ROUND(SUM(C10:E10),2))</f>
      </c>
      <c r="G10" s="22"/>
      <c r="H10" s="22"/>
      <c r="I10" s="22"/>
      <c r="J10" s="22"/>
      <c r="K10" s="25" t="str">
        <f>IF(COUNT(F10:J10)&lt;5,"",ROUND(F10-SUM(G10:J10),2))</f>
      </c>
      <c r="L10" s="20"/>
    </row>
    <row r="11" ht="34" customHeight="1">
      <c r="A11" s="21"/>
      <c r="B11" s="21"/>
      <c r="C11" s="23"/>
      <c r="D11" s="23"/>
      <c r="E11" s="23"/>
      <c r="F11" s="25" t="str">
        <f>IF(COUNT(C11:E11)&lt;3,"",ROUND(SUM(C11:E11),2))</f>
      </c>
      <c r="G11" s="23"/>
      <c r="H11" s="23"/>
      <c r="I11" s="23"/>
      <c r="J11" s="23"/>
      <c r="K11" s="25" t="str">
        <f>IF(COUNT(F11:J11)&lt;5,"",ROUND(F11-SUM(G11:J11),2))</f>
      </c>
      <c r="L11" s="21"/>
    </row>
    <row r="12" ht="34" customHeight="1">
      <c r="A12" s="20"/>
      <c r="B12" s="20"/>
      <c r="C12" s="22"/>
      <c r="D12" s="22"/>
      <c r="E12" s="22"/>
      <c r="F12" s="25" t="str">
        <f>IF(COUNT(C12:E12)&lt;3,"",ROUND(SUM(C12:E12),2))</f>
      </c>
      <c r="G12" s="22"/>
      <c r="H12" s="22"/>
      <c r="I12" s="22"/>
      <c r="J12" s="22"/>
      <c r="K12" s="25" t="str">
        <f>IF(COUNT(F12:J12)&lt;5,"",ROUND(F12-SUM(G12:J12),2))</f>
      </c>
      <c r="L12" s="20"/>
    </row>
    <row r="13" ht="34" customHeight="1">
      <c r="A13" s="21"/>
      <c r="B13" s="21"/>
      <c r="C13" s="23"/>
      <c r="D13" s="23"/>
      <c r="E13" s="23"/>
      <c r="F13" s="25" t="str">
        <f>IF(COUNT(C13:E13)&lt;3,"",ROUND(SUM(C13:E13),2))</f>
      </c>
      <c r="G13" s="23"/>
      <c r="H13" s="23"/>
      <c r="I13" s="23"/>
      <c r="J13" s="23"/>
      <c r="K13" s="25" t="str">
        <f>IF(COUNT(F13:J13)&lt;5,"",ROUND(F13-SUM(G13:J13),2))</f>
      </c>
      <c r="L13" s="21"/>
    </row>
    <row r="14" ht="34" customHeight="1">
      <c r="A14" s="20"/>
      <c r="B14" s="20"/>
      <c r="C14" s="22"/>
      <c r="D14" s="22"/>
      <c r="E14" s="22"/>
      <c r="F14" s="25" t="str">
        <f>IF(COUNT(C14:E14)&lt;3,"",ROUND(SUM(C14:E14),2))</f>
      </c>
      <c r="G14" s="22"/>
      <c r="H14" s="22"/>
      <c r="I14" s="22"/>
      <c r="J14" s="22"/>
      <c r="K14" s="25" t="str">
        <f>IF(COUNT(F14:J14)&lt;5,"",ROUND(F14-SUM(G14:J14),2))</f>
      </c>
      <c r="L14" s="20"/>
    </row>
    <row r="15" ht="34" customHeight="1">
      <c r="A15" s="21"/>
      <c r="B15" s="21"/>
      <c r="C15" s="23"/>
      <c r="D15" s="23"/>
      <c r="E15" s="23"/>
      <c r="F15" s="25" t="str">
        <f>IF(COUNT(C15:E15)&lt;3,"",ROUND(SUM(C15:E15),2))</f>
      </c>
      <c r="G15" s="23"/>
      <c r="H15" s="23"/>
      <c r="I15" s="23"/>
      <c r="J15" s="23"/>
      <c r="K15" s="25" t="str">
        <f>IF(COUNT(F15:J15)&lt;5,"",ROUND(F15-SUM(G15:J15),2))</f>
      </c>
      <c r="L15" s="21"/>
    </row>
    <row r="16" ht="34" customHeight="1">
      <c r="A16" s="20"/>
      <c r="B16" s="20"/>
      <c r="C16" s="22"/>
      <c r="D16" s="22"/>
      <c r="E16" s="22"/>
      <c r="F16" s="25" t="str">
        <f>IF(COUNT(C16:E16)&lt;3,"",ROUND(SUM(C16:E16),2))</f>
      </c>
      <c r="G16" s="22"/>
      <c r="H16" s="22"/>
      <c r="I16" s="22"/>
      <c r="J16" s="22"/>
      <c r="K16" s="25" t="str">
        <f>IF(COUNT(F16:J16)&lt;5,"",ROUND(F16-SUM(G16:J16),2))</f>
      </c>
      <c r="L16" s="20"/>
    </row>
    <row r="17" ht="34" customHeight="1">
      <c r="A17" s="21"/>
      <c r="B17" s="21"/>
      <c r="C17" s="23"/>
      <c r="D17" s="23"/>
      <c r="E17" s="23"/>
      <c r="F17" s="25" t="str">
        <f>IF(COUNT(C17:E17)&lt;3,"",ROUND(SUM(C17:E17),2))</f>
      </c>
      <c r="G17" s="23"/>
      <c r="H17" s="23"/>
      <c r="I17" s="23"/>
      <c r="J17" s="23"/>
      <c r="K17" s="25" t="str">
        <f>IF(COUNT(F17:J17)&lt;5,"",ROUND(F17-SUM(G17:J17),2))</f>
      </c>
      <c r="L17" s="21"/>
    </row>
    <row r="18" ht="34" customHeight="1">
      <c r="A18" s="20"/>
      <c r="B18" s="20"/>
      <c r="C18" s="22"/>
      <c r="D18" s="22"/>
      <c r="E18" s="22"/>
      <c r="F18" s="25" t="str">
        <f>IF(COUNT(C18:E18)&lt;3,"",ROUND(SUM(C18:E18),2))</f>
      </c>
      <c r="G18" s="22"/>
      <c r="H18" s="22"/>
      <c r="I18" s="22"/>
      <c r="J18" s="22"/>
      <c r="K18" s="25" t="str">
        <f>IF(COUNT(F18:J18)&lt;5,"",ROUND(F18-SUM(G18:J18),2))</f>
      </c>
      <c r="L18" s="20"/>
    </row>
    <row r="19" ht="34" customHeight="1">
      <c r="A19" s="21"/>
      <c r="B19" s="21"/>
      <c r="C19" s="23"/>
      <c r="D19" s="23"/>
      <c r="E19" s="23"/>
      <c r="F19" s="25" t="str">
        <f>IF(COUNT(C19:E19)&lt;3,"",ROUND(SUM(C19:E19),2))</f>
      </c>
      <c r="G19" s="23"/>
      <c r="H19" s="23"/>
      <c r="I19" s="23"/>
      <c r="J19" s="23"/>
      <c r="K19" s="25" t="str">
        <f>IF(COUNT(F19:J19)&lt;5,"",ROUND(F19-SUM(G19:J19),2))</f>
      </c>
      <c r="L19" s="21"/>
    </row>
    <row r="20" ht="34" customHeight="1">
      <c r="A20" s="20"/>
      <c r="B20" s="20"/>
      <c r="C20" s="22"/>
      <c r="D20" s="22"/>
      <c r="E20" s="22"/>
      <c r="F20" s="25" t="str">
        <f>IF(COUNT(C20:E20)&lt;3,"",ROUND(SUM(C20:E20),2))</f>
      </c>
      <c r="G20" s="22"/>
      <c r="H20" s="22"/>
      <c r="I20" s="22"/>
      <c r="J20" s="22"/>
      <c r="K20" s="25" t="str">
        <f>IF(COUNT(F20:J20)&lt;5,"",ROUND(F20-SUM(G20:J20),2))</f>
      </c>
      <c r="L20" s="20"/>
    </row>
    <row r="21" ht="34" customHeight="1">
      <c r="A21" s="21"/>
      <c r="B21" s="21"/>
      <c r="C21" s="23"/>
      <c r="D21" s="23"/>
      <c r="E21" s="23"/>
      <c r="F21" s="25" t="str">
        <f>IF(COUNT(C21:E21)&lt;3,"",ROUND(SUM(C21:E21),2))</f>
      </c>
      <c r="G21" s="23"/>
      <c r="H21" s="23"/>
      <c r="I21" s="23"/>
      <c r="J21" s="23"/>
      <c r="K21" s="25" t="str">
        <f>IF(COUNT(F21:J21)&lt;5,"",ROUND(F21-SUM(G21:J21),2))</f>
      </c>
      <c r="L21" s="21"/>
    </row>
    <row r="22" ht="34" customHeight="1">
      <c r="A22" s="20"/>
      <c r="B22" s="20"/>
      <c r="C22" s="22"/>
      <c r="D22" s="22"/>
      <c r="E22" s="22"/>
      <c r="F22" s="25" t="str">
        <f>IF(COUNT(C22:E22)&lt;3,"",ROUND(SUM(C22:E22),2))</f>
      </c>
      <c r="G22" s="22"/>
      <c r="H22" s="22"/>
      <c r="I22" s="22"/>
      <c r="J22" s="22"/>
      <c r="K22" s="25" t="str">
        <f>IF(COUNT(F22:J22)&lt;5,"",ROUND(F22-SUM(G22:J22),2))</f>
      </c>
      <c r="L22" s="20"/>
    </row>
    <row r="23" ht="34" customHeight="1">
      <c r="A23" s="21"/>
      <c r="B23" s="21"/>
      <c r="C23" s="23"/>
      <c r="D23" s="23"/>
      <c r="E23" s="23"/>
      <c r="F23" s="25" t="str">
        <f>IF(COUNT(C23:E23)&lt;3,"",ROUND(SUM(C23:E23),2))</f>
      </c>
      <c r="G23" s="23"/>
      <c r="H23" s="23"/>
      <c r="I23" s="23"/>
      <c r="J23" s="23"/>
      <c r="K23" s="25" t="str">
        <f>IF(COUNT(F23:J23)&lt;5,"",ROUND(F23-SUM(G23:J23),2))</f>
      </c>
      <c r="L23" s="21"/>
    </row>
    <row r="24" ht="34" customHeight="1">
      <c r="A24" s="20"/>
      <c r="B24" s="20"/>
      <c r="C24" s="22"/>
      <c r="D24" s="22"/>
      <c r="E24" s="22"/>
      <c r="F24" s="25" t="str">
        <f>IF(COUNT(C24:E24)&lt;3,"",ROUND(SUM(C24:E24),2))</f>
      </c>
      <c r="G24" s="22"/>
      <c r="H24" s="22"/>
      <c r="I24" s="22"/>
      <c r="J24" s="22"/>
      <c r="K24" s="25" t="str">
        <f>IF(COUNT(F24:J24)&lt;5,"",ROUND(F24-SUM(G24:J24),2))</f>
      </c>
      <c r="L24" s="20"/>
    </row>
    <row r="25" ht="34" customHeight="1">
      <c r="A25" s="21"/>
      <c r="B25" s="21"/>
      <c r="C25" s="23"/>
      <c r="D25" s="23"/>
      <c r="E25" s="23"/>
      <c r="F25" s="25" t="str">
        <f>IF(COUNT(C25:E25)&lt;3,"",ROUND(SUM(C25:E25),2))</f>
      </c>
      <c r="G25" s="23"/>
      <c r="H25" s="23"/>
      <c r="I25" s="23"/>
      <c r="J25" s="23"/>
      <c r="K25" s="25" t="str">
        <f>IF(COUNT(F25:J25)&lt;5,"",ROUND(F25-SUM(G25:J25),2))</f>
      </c>
      <c r="L25" s="21"/>
    </row>
    <row r="26" ht="34" customHeight="1">
      <c r="A26" s="20"/>
      <c r="B26" s="20"/>
      <c r="C26" s="22"/>
      <c r="D26" s="22"/>
      <c r="E26" s="22"/>
      <c r="F26" s="25" t="str">
        <f>IF(COUNT(C26:E26)&lt;3,"",ROUND(SUM(C26:E26),2))</f>
      </c>
      <c r="G26" s="22"/>
      <c r="H26" s="22"/>
      <c r="I26" s="22"/>
      <c r="J26" s="22"/>
      <c r="K26" s="25" t="str">
        <f>IF(COUNT(F26:J26)&lt;5,"",ROUND(F26-SUM(G26:J26),2))</f>
      </c>
      <c r="L26" s="20"/>
    </row>
    <row r="27" ht="34" customHeight="1">
      <c r="A27" s="21"/>
      <c r="B27" s="21"/>
      <c r="C27" s="23"/>
      <c r="D27" s="23"/>
      <c r="E27" s="23"/>
      <c r="F27" s="25" t="str">
        <f>IF(COUNT(C27:E27)&lt;3,"",ROUND(SUM(C27:E27),2))</f>
      </c>
      <c r="G27" s="23"/>
      <c r="H27" s="23"/>
      <c r="I27" s="23"/>
      <c r="J27" s="23"/>
      <c r="K27" s="25" t="str">
        <f>IF(COUNT(F27:J27)&lt;5,"",ROUND(F27-SUM(G27:J27),2))</f>
      </c>
      <c r="L27" s="21"/>
    </row>
    <row r="28" ht="34" customHeight="1">
      <c r="A28" s="20"/>
      <c r="B28" s="20"/>
      <c r="C28" s="22"/>
      <c r="D28" s="22"/>
      <c r="E28" s="22"/>
      <c r="F28" s="25" t="str">
        <f>IF(COUNT(C28:E28)&lt;3,"",ROUND(SUM(C28:E28),2))</f>
      </c>
      <c r="G28" s="22"/>
      <c r="H28" s="22"/>
      <c r="I28" s="22"/>
      <c r="J28" s="22"/>
      <c r="K28" s="25" t="str">
        <f>IF(COUNT(F28:J28)&lt;5,"",ROUND(F28-SUM(G28:J28),2))</f>
      </c>
      <c r="L28" s="20"/>
    </row>
    <row r="29" ht="34" customHeight="1">
      <c r="A29" s="21"/>
      <c r="B29" s="21"/>
      <c r="C29" s="23"/>
      <c r="D29" s="23"/>
      <c r="E29" s="23"/>
      <c r="F29" s="25" t="str">
        <f>IF(COUNT(C29:E29)&lt;3,"",ROUND(SUM(C29:E29),2))</f>
      </c>
      <c r="G29" s="23"/>
      <c r="H29" s="23"/>
      <c r="I29" s="23"/>
      <c r="J29" s="23"/>
      <c r="K29" s="25" t="str">
        <f>IF(COUNT(F29:J29)&lt;5,"",ROUND(F29-SUM(G29:J29),2))</f>
      </c>
      <c r="L29" s="21"/>
    </row>
    <row r="30" ht="34" customHeight="1">
      <c r="A30" s="20"/>
      <c r="B30" s="20"/>
      <c r="C30" s="22"/>
      <c r="D30" s="22"/>
      <c r="E30" s="22"/>
      <c r="F30" s="25" t="str">
        <f>IF(COUNT(C30:E30)&lt;3,"",ROUND(SUM(C30:E30),2))</f>
      </c>
      <c r="G30" s="22"/>
      <c r="H30" s="22"/>
      <c r="I30" s="22"/>
      <c r="J30" s="22"/>
      <c r="K30" s="25" t="str">
        <f>IF(COUNT(F30:J30)&lt;5,"",ROUND(F30-SUM(G30:J30),2))</f>
      </c>
      <c r="L30" s="20"/>
    </row>
    <row r="31" ht="34" customHeight="1">
      <c r="A31" s="21"/>
      <c r="B31" s="21"/>
      <c r="C31" s="23"/>
      <c r="D31" s="23"/>
      <c r="E31" s="23"/>
      <c r="F31" s="25" t="str">
        <f>IF(COUNT(C31:E31)&lt;3,"",ROUND(SUM(C31:E31),2))</f>
      </c>
      <c r="G31" s="23"/>
      <c r="H31" s="23"/>
      <c r="I31" s="23"/>
      <c r="J31" s="23"/>
      <c r="K31" s="25" t="str">
        <f>IF(COUNT(F31:J31)&lt;5,"",ROUND(F31-SUM(G31:J31),2))</f>
      </c>
      <c r="L31" s="21"/>
    </row>
    <row r="32" ht="34" customHeight="1">
      <c r="A32" s="20"/>
      <c r="B32" s="20"/>
      <c r="C32" s="22"/>
      <c r="D32" s="22"/>
      <c r="E32" s="22"/>
      <c r="F32" s="25" t="str">
        <f>IF(COUNT(C32:E32)&lt;3,"",ROUND(SUM(C32:E32),2))</f>
      </c>
      <c r="G32" s="22"/>
      <c r="H32" s="22"/>
      <c r="I32" s="22"/>
      <c r="J32" s="22"/>
      <c r="K32" s="25" t="str">
        <f>IF(COUNT(F32:J32)&lt;5,"",ROUND(F32-SUM(G32:J32),2))</f>
      </c>
      <c r="L32" s="20"/>
    </row>
    <row r="33" ht="34" customHeight="1">
      <c r="A33" s="21"/>
      <c r="B33" s="21"/>
      <c r="C33" s="23"/>
      <c r="D33" s="23"/>
      <c r="E33" s="23"/>
      <c r="F33" s="25" t="str">
        <f>IF(COUNT(C33:E33)&lt;3,"",ROUND(SUM(C33:E33),2))</f>
      </c>
      <c r="G33" s="23"/>
      <c r="H33" s="23"/>
      <c r="I33" s="23"/>
      <c r="J33" s="23"/>
      <c r="K33" s="25" t="str">
        <f>IF(COUNT(F33:J33)&lt;5,"",ROUND(F33-SUM(G33:J33),2))</f>
      </c>
      <c r="L33" s="21"/>
    </row>
    <row r="34" ht="34" customHeight="1">
      <c r="A34" s="20"/>
      <c r="B34" s="20"/>
      <c r="C34" s="22"/>
      <c r="D34" s="22"/>
      <c r="E34" s="22"/>
      <c r="F34" s="25" t="str">
        <f>IF(COUNT(C34:E34)&lt;3,"",ROUND(SUM(C34:E34),2))</f>
      </c>
      <c r="G34" s="22"/>
      <c r="H34" s="22"/>
      <c r="I34" s="22"/>
      <c r="J34" s="22"/>
      <c r="K34" s="25" t="str">
        <f>IF(COUNT(F34:J34)&lt;5,"",ROUND(F34-SUM(G34:J34),2))</f>
      </c>
      <c r="L34" s="20"/>
    </row>
    <row r="35" ht="34" customHeight="1">
      <c r="A35" s="21"/>
      <c r="B35" s="21"/>
      <c r="C35" s="23"/>
      <c r="D35" s="23"/>
      <c r="E35" s="23"/>
      <c r="F35" s="25" t="str">
        <f>IF(COUNT(C35:E35)&lt;3,"",ROUND(SUM(C35:E35),2))</f>
      </c>
      <c r="G35" s="23"/>
      <c r="H35" s="23"/>
      <c r="I35" s="23"/>
      <c r="J35" s="23"/>
      <c r="K35" s="25" t="str">
        <f>IF(COUNT(F35:J35)&lt;5,"",ROUND(F35-SUM(G35:J35),2))</f>
      </c>
      <c r="L35" s="21"/>
    </row>
    <row r="36" ht="34" customHeight="1">
      <c r="A36" s="20"/>
      <c r="B36" s="20"/>
      <c r="C36" s="22"/>
      <c r="D36" s="22"/>
      <c r="E36" s="22"/>
      <c r="F36" s="25" t="str">
        <f>IF(COUNT(C36:E36)&lt;3,"",ROUND(SUM(C36:E36),2))</f>
      </c>
      <c r="G36" s="22"/>
      <c r="H36" s="22"/>
      <c r="I36" s="22"/>
      <c r="J36" s="22"/>
      <c r="K36" s="25" t="str">
        <f>IF(COUNT(F36:J36)&lt;5,"",ROUND(F36-SUM(G36:J36),2))</f>
      </c>
      <c r="L36" s="20"/>
    </row>
    <row r="37" ht="30" customHeight="1">
      <c r="A37" s="29" t="str">
        <v>筛选汇总</v>
      </c>
      <c r="B37" s="29"/>
      <c r="C37" s="30" t="str">
        <f>IF(COUNT(C8:C36)=0,"",SUBTOTAL(109,C8:C36))</f>
      </c>
      <c r="D37" s="30" t="str">
        <f>IF(COUNT(D8:D36)=0,"",SUBTOTAL(109,D8:D36))</f>
      </c>
      <c r="E37" s="30" t="str">
        <f>IF(COUNT(E8:E36)=0,"",SUBTOTAL(109,E8:E36))</f>
      </c>
      <c r="F37" s="30" t="str">
        <f>IF(COUNT(F8:F36)=0,"",SUBTOTAL(109,F8:F36))</f>
      </c>
      <c r="G37" s="30" t="str">
        <f>IF(COUNT(G8:G36)=0,"",SUBTOTAL(109,G8:G36))</f>
      </c>
      <c r="H37" s="30" t="str">
        <f>IF(COUNT(H8:H36)=0,"",SUBTOTAL(109,H8:H36))</f>
      </c>
      <c r="I37" s="30" t="str">
        <f>IF(COUNT(I8:I36)=0,"",SUBTOTAL(109,I8:I36))</f>
      </c>
      <c r="J37" s="30" t="str">
        <f>IF(COUNT(J8:J36)=0,"",SUBTOTAL(109,J8:J36))</f>
      </c>
      <c r="K37" s="30" t="str">
        <f>IF(COUNT(K8:K36)=0,"",SUBTOTAL(109,K8:K36))</f>
      </c>
      <c r="L37" s="29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mergeCells>
    <mergeCell ref="A2:L2"/>
    <mergeCell ref="A3:L3"/>
    <mergeCell ref="A4:L4"/>
    <mergeCell ref="A5:L5"/>
    <mergeCell ref="A6:B6"/>
    <mergeCell ref="C6:F6"/>
    <mergeCell ref="G6:L6"/>
  </mergeCells>
  <conditionalFormatting sqref="F8:F36">
    <cfRule type="cellIs" dxfId="0" priority="1" operator="lessThan">
      <formula>0</formula>
    </cfRule>
  </conditionalFormatting>
  <conditionalFormatting sqref="K8:K36">
    <cfRule type="cellIs" dxfId="1" priority="2" operator="lessThan">
      <formula>0</formula>
    </cfRule>
  </conditionalFormatting>
  <printOptions horizontalCentered="1"/>
  <pageMargins left="0.25" right="0.25" top="0.35" bottom="0.35" header="0.15" footer="0.15"/>
  <pageSetup paperSize="8" orientation="landscape" fitToWidth="1" fitToHeight="0"/>
  <tableParts count="1">
    <tablePart ns1:id="R1ab30e6ce52747bb"/>
  </tableParts>
</worksheet>
</file>