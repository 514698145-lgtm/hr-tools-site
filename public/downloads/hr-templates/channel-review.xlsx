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abda6febc4a3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6090daa717f940db"/>
    <sheet name="招聘渠道效果登记表" sheetId="2" ns1:id="R74d9f9ba8552486f"/>
  </sheets>
  <definedNames>
    <definedName name="_xlnm.Print_Area" localSheetId="0">'概览'!$A$1:$I$21</definedName>
    <definedName name="_xlnm.Print_Area" localSheetId="1">'招聘渠道效果登记表'!$A$1:$M$37</definedName>
    <definedName name="_xlnm.Print_Titles" localSheetId="1">'招聘渠道效果登记表'!$7:$7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"/>
    <x:numFmt numFmtId="202" formatCode="#,##0.00;[Red]-#,##0.00;0.00"/>
    <x:numFmt numFmtId="203" formatCode="0.00%"/>
    <x:numFmt numFmtId="204" formatCode="#,##0.00"/>
    <x:numFmt numFmtId="205" formatCode="#,##0.00;[Red]-#,##0.00"/>
  </x:numFmts>
  <x:fonts count="13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4465E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  <x:font>
      <x:b/>
      <x:sz val="11"/>
      <x:color rgb="FF233348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34465E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203" fontId="1" fillId="6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5" fontId="7" fillId="0" borderId="0" xfId="0" applyNumberFormat="1" applyFont="1" applyFill="1" applyBorder="1"/>
    <x:xf numFmtId="205" fontId="7" fillId="6" borderId="0" xfId="0" applyNumberFormat="1" applyFont="1" applyFill="1" applyBorder="1"/>
    <x:xf numFmtId="0" fontId="12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name val="Noto Sans CJK SC"/>
        <x:color rgb="FFB42318"/>
      </x:font>
    </x:dxf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1b8badb214d5e" /><Relationship Type="http://schemas.openxmlformats.org/officeDocument/2006/relationships/theme" Target="/xl/theme/theme1.xml" Id="R8e79de2a0c9c4236" /><Relationship Type="http://schemas.openxmlformats.org/officeDocument/2006/relationships/sharedStrings" Target="/xl/sharedStrings.xml" Id="R74d505b763d549dc" /><Relationship Type="http://schemas.openxmlformats.org/officeDocument/2006/relationships/worksheet" Target="/xl/worksheets/sheet1.xml" Id="R6090daa717f940db" /><Relationship Type="http://schemas.openxmlformats.org/officeDocument/2006/relationships/worksheet" Target="/xl/worksheets/sheet2.xml" Id="R74d9f9ba8552486f" /></Relationships>
</file>

<file path=xl/tables/table1.xml><?xml version="1.0" encoding="utf-8"?>
<x:table xmlns:x="http://schemas.openxmlformats.org/spreadsheetml/2006/main" id="1" name="T_channel_review" displayName="T_channel_review" ref="A7:M36" headerRowCount="1" totalsRowCount="0" totalsRowShown="0">
  <x:tableColumns count="13">
    <x:tableColumn id="1" name="统计期间"/>
    <x:tableColumn id="2" name="渠道名称"/>
    <x:tableColumn id="3" name="投递数量"/>
    <x:tableColumn id="4" name="有效候选人数"/>
    <x:tableColumn id="5" name="面试人数"/>
    <x:tableColumn id="6" name="录用人数"/>
    <x:tableColumn id="7" name="实际到岗人数"/>
    <x:tableColumn id="8" name="渠道支出"/>
    <x:tableColumn id="9" name="数据口径"/>
    <x:tableColumn id="10" name="负责人"/>
    <x:tableColumn id="11" name="备注"/>
    <x:tableColumn id="12" name="到岗率（自动）"/>
    <x:tableColumn id="13" name="人均到岗成本（自动）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030a7a38634f8a" /></Relationships>
</file>

<file path=xl/worksheets/sheet1.xml><?xml version="1.0" encoding="utf-8"?>
<worksheet xmlns="http://schemas.openxmlformats.org/spreadsheetml/2006/main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34"/>
      <c r="B1" s="34"/>
      <c r="C1" s="34"/>
      <c r="D1" s="34"/>
      <c r="E1" s="34"/>
      <c r="F1" s="34"/>
      <c r="G1" s="34"/>
      <c r="H1" s="34"/>
    </row>
    <row r="2" ht="42" customHeight="1">
      <c r="A2" s="36" t="str">
        <v>招聘渠道效果登记表 · 概览</v>
      </c>
      <c r="B2" s="34"/>
      <c r="C2" s="34"/>
      <c r="D2" s="34"/>
      <c r="E2" s="34"/>
      <c r="F2" s="34"/>
      <c r="G2" s="34"/>
      <c r="H2" s="34"/>
    </row>
    <row r="3" ht="29" customHeight="1">
      <c r="A3" s="37" t="str">
        <v>在第二个工作表填写明细，本页自动汇总全部29个预留数据行。</v>
      </c>
      <c r="B3" s="34"/>
      <c r="C3" s="34"/>
      <c r="D3" s="34"/>
      <c r="E3" s="34"/>
      <c r="F3" s="34"/>
      <c r="G3" s="34"/>
      <c r="H3" s="34"/>
    </row>
    <row r="4" ht="29" customHeight="1">
      <c r="A4" s="34"/>
      <c r="B4" s="34"/>
      <c r="C4" s="34"/>
      <c r="D4" s="34"/>
      <c r="E4" s="34"/>
      <c r="F4" s="34"/>
      <c r="G4" s="34"/>
      <c r="H4" s="34"/>
    </row>
    <row r="5" ht="29" customHeight="1">
      <c r="A5" s="39" t="str">
        <v>指标</v>
      </c>
      <c r="B5" s="39" t="str">
        <v>汇总结果</v>
      </c>
      <c r="C5" s="39" t="str">
        <v>单位</v>
      </c>
      <c r="D5" s="34"/>
      <c r="E5" s="34"/>
      <c r="F5" s="34"/>
      <c r="G5" s="34"/>
      <c r="H5" s="34"/>
    </row>
    <row r="6" ht="38" customHeight="1">
      <c r="A6" s="34" t="str">
        <v>投递数量</v>
      </c>
      <c r="B6" s="41" t="n">
        <f>SUM('招聘渠道效果登记表'!C8:C36)</f>
        <v>0</v>
      </c>
      <c r="C6" s="34" t="str">
        <v>人</v>
      </c>
      <c r="D6" s="34"/>
      <c r="E6" s="42" t="str">
        <v>核对要点</v>
      </c>
      <c r="F6" s="34"/>
      <c r="G6" s="34"/>
      <c r="H6" s="34"/>
    </row>
    <row r="7" ht="38" customHeight="1">
      <c r="A7" s="34" t="str">
        <v>有效候选</v>
      </c>
      <c r="B7" s="41" t="n">
        <f>SUM('招聘渠道效果登记表'!D8:D36)</f>
        <v>0</v>
      </c>
      <c r="C7" s="34" t="str">
        <v>人</v>
      </c>
      <c r="D7" s="34"/>
      <c r="E7" s="34"/>
      <c r="F7" s="34"/>
      <c r="G7" s="34"/>
      <c r="H7" s="34"/>
    </row>
    <row r="8" ht="38" customHeight="1">
      <c r="A8" s="34" t="str">
        <v>面试人数</v>
      </c>
      <c r="B8" s="41" t="n">
        <f>SUM('招聘渠道效果登记表'!E8:E36)</f>
        <v>0</v>
      </c>
      <c r="C8" s="34" t="str">
        <v>人</v>
      </c>
      <c r="D8" s="34"/>
      <c r="E8" s="34" t="str">
        <v>同一渠道、同一统计期间</v>
      </c>
      <c r="F8" s="34"/>
      <c r="G8" s="34"/>
      <c r="H8" s="34"/>
    </row>
    <row r="9" ht="38" customHeight="1">
      <c r="A9" s="34" t="str">
        <v>录用人数</v>
      </c>
      <c r="B9" s="41" t="n">
        <f>SUM('招聘渠道效果登记表'!F8:F36)</f>
        <v>0</v>
      </c>
      <c r="C9" s="34" t="str">
        <v>人</v>
      </c>
      <c r="D9" s="34"/>
      <c r="E9" s="34" t="str">
        <v>人数与金额分别汇总</v>
      </c>
      <c r="F9" s="34"/>
      <c r="G9" s="34"/>
      <c r="H9" s="34"/>
    </row>
    <row r="10" ht="38" customHeight="1">
      <c r="A10" s="34" t="str">
        <v>实际到岗</v>
      </c>
      <c r="B10" s="41" t="n">
        <f>SUM('招聘渠道效果登记表'!G8:G36)</f>
        <v>0</v>
      </c>
      <c r="C10" s="34" t="str">
        <v>人</v>
      </c>
      <c r="D10" s="34"/>
      <c r="E10" s="34" t="str">
        <v>到岗率不得平均逐行百分比</v>
      </c>
      <c r="F10" s="34"/>
      <c r="G10" s="34"/>
      <c r="H10" s="34"/>
    </row>
    <row r="11" ht="38" customHeight="1">
      <c r="A11" s="34" t="str">
        <v>渠道投入</v>
      </c>
      <c r="B11" s="41" t="n">
        <f>SUM('招聘渠道效果登记表'!H8:H36)</f>
        <v>0</v>
      </c>
      <c r="C11" s="34" t="str">
        <v>元</v>
      </c>
      <c r="D11" s="34"/>
      <c r="E11" s="34"/>
      <c r="F11" s="34"/>
      <c r="G11" s="34"/>
      <c r="H11" s="34"/>
    </row>
    <row r="12" ht="29" customHeight="1">
      <c r="A12" s="34"/>
      <c r="B12" s="34"/>
      <c r="C12" s="34"/>
      <c r="D12" s="34"/>
      <c r="E12" s="34"/>
      <c r="F12" s="34"/>
      <c r="G12" s="34"/>
      <c r="H12" s="34"/>
    </row>
    <row r="13" ht="29" customHeight="1">
      <c r="A13" s="34"/>
      <c r="B13" s="34"/>
      <c r="C13" s="34"/>
      <c r="D13" s="34"/>
      <c r="E13" s="34"/>
      <c r="F13" s="34"/>
      <c r="G13" s="34"/>
      <c r="H13" s="34"/>
    </row>
    <row r="14" ht="29" customHeight="1">
      <c r="A14" s="34"/>
      <c r="B14" s="34"/>
      <c r="C14" s="34"/>
      <c r="D14" s="34"/>
      <c r="E14" s="34"/>
      <c r="F14" s="34"/>
      <c r="G14" s="34"/>
      <c r="H14" s="34"/>
    </row>
    <row r="15" ht="29" customHeight="1">
      <c r="A15" s="34"/>
      <c r="B15" s="34"/>
      <c r="C15" s="34"/>
      <c r="D15" s="34"/>
      <c r="E15" s="34"/>
      <c r="F15" s="34"/>
      <c r="G15" s="34"/>
      <c r="H15" s="34"/>
    </row>
    <row r="16" ht="29" customHeight="1">
      <c r="A16" s="34"/>
      <c r="B16" s="34"/>
      <c r="C16" s="34"/>
      <c r="D16" s="34"/>
      <c r="E16" s="34"/>
      <c r="F16" s="34"/>
      <c r="G16" s="34"/>
      <c r="H16" s="34"/>
    </row>
    <row r="17" ht="29" customHeight="1">
      <c r="A17" s="34"/>
      <c r="B17" s="34"/>
      <c r="C17" s="34"/>
      <c r="D17" s="34"/>
      <c r="E17" s="34"/>
      <c r="F17" s="34"/>
      <c r="G17" s="34"/>
      <c r="H17" s="34"/>
    </row>
    <row r="18" ht="29" customHeight="1">
      <c r="A18" s="34"/>
      <c r="B18" s="34"/>
      <c r="C18" s="34"/>
      <c r="D18" s="34"/>
      <c r="E18" s="34"/>
      <c r="F18" s="34"/>
      <c r="G18" s="34"/>
      <c r="H18" s="34"/>
    </row>
    <row r="19" ht="29" customHeight="1">
      <c r="A19" s="44" t="str">
        <v>空白明细显示0，仅表示尚无录入数据。汇总不代表数据已齐全；请先检查明细必填输入，再使用总额。概览汇总全部行，不随明细筛选变化。</v>
      </c>
      <c r="B19" s="43"/>
      <c r="C19" s="43"/>
      <c r="D19" s="43"/>
      <c r="E19" s="43"/>
      <c r="F19" s="43"/>
      <c r="G19" s="43"/>
      <c r="H19" s="43"/>
    </row>
    <row r="20" ht="29" customHeight="1">
      <c r="A20" s="43"/>
      <c r="B20" s="43"/>
      <c r="C20" s="43"/>
      <c r="D20" s="43"/>
      <c r="E20" s="43"/>
      <c r="F20" s="43"/>
      <c r="G20" s="43"/>
      <c r="H20" s="43"/>
    </row>
    <row r="21" ht="29" customHeight="1">
      <c r="A21" s="34"/>
      <c r="B21" s="34"/>
      <c r="C21" s="34"/>
      <c r="D21" s="34"/>
      <c r="E21" s="34"/>
      <c r="F21" s="34"/>
      <c r="G21" s="34"/>
      <c r="H21" s="34"/>
    </row>
    <row r="22" ht="29" customHeight="1">
      <c r="A22" s="34"/>
      <c r="B22" s="34"/>
      <c r="C22" s="34"/>
      <c r="D22" s="34"/>
      <c r="E22" s="34"/>
      <c r="F22" s="34"/>
      <c r="G22" s="34"/>
      <c r="H22" s="34"/>
    </row>
    <row r="23" ht="29" customHeight="1">
      <c r="A23" s="34"/>
      <c r="B23" s="34"/>
      <c r="C23" s="34"/>
      <c r="D23" s="34"/>
      <c r="E23" s="34"/>
      <c r="F23" s="34"/>
      <c r="G23" s="34"/>
      <c r="H23" s="34"/>
    </row>
  </sheetData>
  <mergeCells>
    <mergeCell ref="A2:H2"/>
    <mergeCell ref="A3:H3"/>
    <mergeCell ref="E6:H6"/>
    <mergeCell ref="E8:H8"/>
    <mergeCell ref="E9:H9"/>
    <mergeCell ref="E10:H10"/>
    <mergeCell ref="A19:H20"/>
  </mergeCells>
  <printOptions horizontalCentered="1"/>
  <pageMargins left="0.25" right="0.25" top="0.35" bottom="0.35" header="0.15" footer="0.15"/>
  <pageSetup paperSize="9" orientation="landscape" fitToWidth="1" fitToHeight="0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4465E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25" hidden="0" customWidth="1"/>
    <col min="12" max="12" width="18" hidden="0" customWidth="1"/>
    <col min="13" max="13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2" customHeight="1">
      <c r="A2" s="3" t="str">
        <v>招聘渠道效果登记表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>
      <c r="A3" s="5" t="str">
        <v>渠道转化复盘  /  汇总渠道投入与招聘转化的原始数据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40" customHeight="1">
      <c r="A5" s="8" t="str">
        <v>白色 / 浅灰为填写区；浅绿色为自动计算。渠道支出单位：元。到岗率=实际到岗人数÷录用人数；人均到岗成本=渠道支出÷到岗人数。分母为0显示不适用；人数请按同一期间、同一口径填写。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ht="30" customHeight="1">
      <c r="A6" s="10" t="str">
        <v>渠道与流量</v>
      </c>
      <c r="B6" s="10"/>
      <c r="C6" s="10"/>
      <c r="D6" s="10"/>
      <c r="E6" s="10" t="str">
        <v>录用与投入</v>
      </c>
      <c r="F6" s="10"/>
      <c r="G6" s="10"/>
      <c r="H6" s="10"/>
      <c r="I6" s="10" t="str">
        <v>口径与效率</v>
      </c>
      <c r="J6" s="10"/>
      <c r="K6" s="10"/>
      <c r="L6" s="10"/>
      <c r="M6" s="10"/>
    </row>
    <row r="7" ht="42" customHeight="1">
      <c r="A7" s="13" t="str">
        <v>统计期间</v>
      </c>
      <c r="B7" s="13" t="str">
        <v>渠道名称</v>
      </c>
      <c r="C7" s="13" t="str">
        <v>投递数量</v>
      </c>
      <c r="D7" s="13" t="str">
        <v>有效候选人数</v>
      </c>
      <c r="E7" s="13" t="str">
        <v>面试人数</v>
      </c>
      <c r="F7" s="13" t="str">
        <v>录用人数</v>
      </c>
      <c r="G7" s="13" t="str">
        <v>实际到岗人数</v>
      </c>
      <c r="H7" s="13" t="str">
        <v>渠道支出</v>
      </c>
      <c r="I7" s="13" t="str">
        <v>数据口径</v>
      </c>
      <c r="J7" s="13" t="str">
        <v>负责人</v>
      </c>
      <c r="K7" s="13" t="str">
        <v>备注</v>
      </c>
      <c r="L7" s="13" t="str">
        <v>到岗率（自动）</v>
      </c>
      <c r="M7" s="13" t="str">
        <v>人均到岗成本（自动）</v>
      </c>
    </row>
    <row r="8" ht="34" customHeight="1">
      <c r="A8" s="20"/>
      <c r="B8" s="20"/>
      <c r="C8" s="22"/>
      <c r="D8" s="22"/>
      <c r="E8" s="22"/>
      <c r="F8" s="22"/>
      <c r="G8" s="22"/>
      <c r="H8" s="24"/>
      <c r="I8" s="20"/>
      <c r="J8" s="20"/>
      <c r="K8" s="20"/>
      <c r="L8" s="27" t="str">
        <f>IF(COUNT(F8:G8)&lt;2,"",IF(F8=0,"不适用",G8/F8))</f>
      </c>
      <c r="M8" s="28" t="str">
        <f>IF(COUNT(G8:H8)&lt;2,"",IF(G8=0,"不适用",ROUND(H8/G8,2)))</f>
      </c>
    </row>
    <row r="9" ht="34" customHeight="1">
      <c r="A9" s="21"/>
      <c r="B9" s="21"/>
      <c r="C9" s="23"/>
      <c r="D9" s="23"/>
      <c r="E9" s="23"/>
      <c r="F9" s="23"/>
      <c r="G9" s="23"/>
      <c r="H9" s="25"/>
      <c r="I9" s="21"/>
      <c r="J9" s="21"/>
      <c r="K9" s="21"/>
      <c r="L9" s="27" t="str">
        <f>IF(COUNT(F9:G9)&lt;2,"",IF(F9=0,"不适用",G9/F9))</f>
      </c>
      <c r="M9" s="28" t="str">
        <f>IF(COUNT(G9:H9)&lt;2,"",IF(G9=0,"不适用",ROUND(H9/G9,2)))</f>
      </c>
    </row>
    <row r="10" ht="34" customHeight="1">
      <c r="A10" s="20"/>
      <c r="B10" s="20"/>
      <c r="C10" s="22"/>
      <c r="D10" s="22"/>
      <c r="E10" s="22"/>
      <c r="F10" s="22"/>
      <c r="G10" s="22"/>
      <c r="H10" s="24"/>
      <c r="I10" s="20"/>
      <c r="J10" s="20"/>
      <c r="K10" s="20"/>
      <c r="L10" s="27" t="str">
        <f>IF(COUNT(F10:G10)&lt;2,"",IF(F10=0,"不适用",G10/F10))</f>
      </c>
      <c r="M10" s="28" t="str">
        <f>IF(COUNT(G10:H10)&lt;2,"",IF(G10=0,"不适用",ROUND(H10/G10,2)))</f>
      </c>
    </row>
    <row r="11" ht="34" customHeight="1">
      <c r="A11" s="21"/>
      <c r="B11" s="21"/>
      <c r="C11" s="23"/>
      <c r="D11" s="23"/>
      <c r="E11" s="23"/>
      <c r="F11" s="23"/>
      <c r="G11" s="23"/>
      <c r="H11" s="25"/>
      <c r="I11" s="21"/>
      <c r="J11" s="21"/>
      <c r="K11" s="21"/>
      <c r="L11" s="27" t="str">
        <f>IF(COUNT(F11:G11)&lt;2,"",IF(F11=0,"不适用",G11/F11))</f>
      </c>
      <c r="M11" s="28" t="str">
        <f>IF(COUNT(G11:H11)&lt;2,"",IF(G11=0,"不适用",ROUND(H11/G11,2)))</f>
      </c>
    </row>
    <row r="12" ht="34" customHeight="1">
      <c r="A12" s="20"/>
      <c r="B12" s="20"/>
      <c r="C12" s="22"/>
      <c r="D12" s="22"/>
      <c r="E12" s="22"/>
      <c r="F12" s="22"/>
      <c r="G12" s="22"/>
      <c r="H12" s="24"/>
      <c r="I12" s="20"/>
      <c r="J12" s="20"/>
      <c r="K12" s="20"/>
      <c r="L12" s="27" t="str">
        <f>IF(COUNT(F12:G12)&lt;2,"",IF(F12=0,"不适用",G12/F12))</f>
      </c>
      <c r="M12" s="28" t="str">
        <f>IF(COUNT(G12:H12)&lt;2,"",IF(G12=0,"不适用",ROUND(H12/G12,2)))</f>
      </c>
    </row>
    <row r="13" ht="34" customHeight="1">
      <c r="A13" s="21"/>
      <c r="B13" s="21"/>
      <c r="C13" s="23"/>
      <c r="D13" s="23"/>
      <c r="E13" s="23"/>
      <c r="F13" s="23"/>
      <c r="G13" s="23"/>
      <c r="H13" s="25"/>
      <c r="I13" s="21"/>
      <c r="J13" s="21"/>
      <c r="K13" s="21"/>
      <c r="L13" s="27" t="str">
        <f>IF(COUNT(F13:G13)&lt;2,"",IF(F13=0,"不适用",G13/F13))</f>
      </c>
      <c r="M13" s="28" t="str">
        <f>IF(COUNT(G13:H13)&lt;2,"",IF(G13=0,"不适用",ROUND(H13/G13,2)))</f>
      </c>
    </row>
    <row r="14" ht="34" customHeight="1">
      <c r="A14" s="20"/>
      <c r="B14" s="20"/>
      <c r="C14" s="22"/>
      <c r="D14" s="22"/>
      <c r="E14" s="22"/>
      <c r="F14" s="22"/>
      <c r="G14" s="22"/>
      <c r="H14" s="24"/>
      <c r="I14" s="20"/>
      <c r="J14" s="20"/>
      <c r="K14" s="20"/>
      <c r="L14" s="27" t="str">
        <f>IF(COUNT(F14:G14)&lt;2,"",IF(F14=0,"不适用",G14/F14))</f>
      </c>
      <c r="M14" s="28" t="str">
        <f>IF(COUNT(G14:H14)&lt;2,"",IF(G14=0,"不适用",ROUND(H14/G14,2)))</f>
      </c>
    </row>
    <row r="15" ht="34" customHeight="1">
      <c r="A15" s="21"/>
      <c r="B15" s="21"/>
      <c r="C15" s="23"/>
      <c r="D15" s="23"/>
      <c r="E15" s="23"/>
      <c r="F15" s="23"/>
      <c r="G15" s="23"/>
      <c r="H15" s="25"/>
      <c r="I15" s="21"/>
      <c r="J15" s="21"/>
      <c r="K15" s="21"/>
      <c r="L15" s="27" t="str">
        <f>IF(COUNT(F15:G15)&lt;2,"",IF(F15=0,"不适用",G15/F15))</f>
      </c>
      <c r="M15" s="28" t="str">
        <f>IF(COUNT(G15:H15)&lt;2,"",IF(G15=0,"不适用",ROUND(H15/G15,2)))</f>
      </c>
    </row>
    <row r="16" ht="34" customHeight="1">
      <c r="A16" s="20"/>
      <c r="B16" s="20"/>
      <c r="C16" s="22"/>
      <c r="D16" s="22"/>
      <c r="E16" s="22"/>
      <c r="F16" s="22"/>
      <c r="G16" s="22"/>
      <c r="H16" s="24"/>
      <c r="I16" s="20"/>
      <c r="J16" s="20"/>
      <c r="K16" s="20"/>
      <c r="L16" s="27" t="str">
        <f>IF(COUNT(F16:G16)&lt;2,"",IF(F16=0,"不适用",G16/F16))</f>
      </c>
      <c r="M16" s="28" t="str">
        <f>IF(COUNT(G16:H16)&lt;2,"",IF(G16=0,"不适用",ROUND(H16/G16,2)))</f>
      </c>
    </row>
    <row r="17" ht="34" customHeight="1">
      <c r="A17" s="21"/>
      <c r="B17" s="21"/>
      <c r="C17" s="23"/>
      <c r="D17" s="23"/>
      <c r="E17" s="23"/>
      <c r="F17" s="23"/>
      <c r="G17" s="23"/>
      <c r="H17" s="25"/>
      <c r="I17" s="21"/>
      <c r="J17" s="21"/>
      <c r="K17" s="21"/>
      <c r="L17" s="27" t="str">
        <f>IF(COUNT(F17:G17)&lt;2,"",IF(F17=0,"不适用",G17/F17))</f>
      </c>
      <c r="M17" s="28" t="str">
        <f>IF(COUNT(G17:H17)&lt;2,"",IF(G17=0,"不适用",ROUND(H17/G17,2)))</f>
      </c>
    </row>
    <row r="18" ht="34" customHeight="1">
      <c r="A18" s="20"/>
      <c r="B18" s="20"/>
      <c r="C18" s="22"/>
      <c r="D18" s="22"/>
      <c r="E18" s="22"/>
      <c r="F18" s="22"/>
      <c r="G18" s="22"/>
      <c r="H18" s="24"/>
      <c r="I18" s="20"/>
      <c r="J18" s="20"/>
      <c r="K18" s="20"/>
      <c r="L18" s="27" t="str">
        <f>IF(COUNT(F18:G18)&lt;2,"",IF(F18=0,"不适用",G18/F18))</f>
      </c>
      <c r="M18" s="28" t="str">
        <f>IF(COUNT(G18:H18)&lt;2,"",IF(G18=0,"不适用",ROUND(H18/G18,2)))</f>
      </c>
    </row>
    <row r="19" ht="34" customHeight="1">
      <c r="A19" s="21"/>
      <c r="B19" s="21"/>
      <c r="C19" s="23"/>
      <c r="D19" s="23"/>
      <c r="E19" s="23"/>
      <c r="F19" s="23"/>
      <c r="G19" s="23"/>
      <c r="H19" s="25"/>
      <c r="I19" s="21"/>
      <c r="J19" s="21"/>
      <c r="K19" s="21"/>
      <c r="L19" s="27" t="str">
        <f>IF(COUNT(F19:G19)&lt;2,"",IF(F19=0,"不适用",G19/F19))</f>
      </c>
      <c r="M19" s="28" t="str">
        <f>IF(COUNT(G19:H19)&lt;2,"",IF(G19=0,"不适用",ROUND(H19/G19,2)))</f>
      </c>
    </row>
    <row r="20" ht="34" customHeight="1">
      <c r="A20" s="20"/>
      <c r="B20" s="20"/>
      <c r="C20" s="22"/>
      <c r="D20" s="22"/>
      <c r="E20" s="22"/>
      <c r="F20" s="22"/>
      <c r="G20" s="22"/>
      <c r="H20" s="24"/>
      <c r="I20" s="20"/>
      <c r="J20" s="20"/>
      <c r="K20" s="20"/>
      <c r="L20" s="27" t="str">
        <f>IF(COUNT(F20:G20)&lt;2,"",IF(F20=0,"不适用",G20/F20))</f>
      </c>
      <c r="M20" s="28" t="str">
        <f>IF(COUNT(G20:H20)&lt;2,"",IF(G20=0,"不适用",ROUND(H20/G20,2)))</f>
      </c>
    </row>
    <row r="21" ht="34" customHeight="1">
      <c r="A21" s="21"/>
      <c r="B21" s="21"/>
      <c r="C21" s="23"/>
      <c r="D21" s="23"/>
      <c r="E21" s="23"/>
      <c r="F21" s="23"/>
      <c r="G21" s="23"/>
      <c r="H21" s="25"/>
      <c r="I21" s="21"/>
      <c r="J21" s="21"/>
      <c r="K21" s="21"/>
      <c r="L21" s="27" t="str">
        <f>IF(COUNT(F21:G21)&lt;2,"",IF(F21=0,"不适用",G21/F21))</f>
      </c>
      <c r="M21" s="28" t="str">
        <f>IF(COUNT(G21:H21)&lt;2,"",IF(G21=0,"不适用",ROUND(H21/G21,2)))</f>
      </c>
    </row>
    <row r="22" ht="34" customHeight="1">
      <c r="A22" s="20"/>
      <c r="B22" s="20"/>
      <c r="C22" s="22"/>
      <c r="D22" s="22"/>
      <c r="E22" s="22"/>
      <c r="F22" s="22"/>
      <c r="G22" s="22"/>
      <c r="H22" s="24"/>
      <c r="I22" s="20"/>
      <c r="J22" s="20"/>
      <c r="K22" s="20"/>
      <c r="L22" s="27" t="str">
        <f>IF(COUNT(F22:G22)&lt;2,"",IF(F22=0,"不适用",G22/F22))</f>
      </c>
      <c r="M22" s="28" t="str">
        <f>IF(COUNT(G22:H22)&lt;2,"",IF(G22=0,"不适用",ROUND(H22/G22,2)))</f>
      </c>
    </row>
    <row r="23" ht="34" customHeight="1">
      <c r="A23" s="21"/>
      <c r="B23" s="21"/>
      <c r="C23" s="23"/>
      <c r="D23" s="23"/>
      <c r="E23" s="23"/>
      <c r="F23" s="23"/>
      <c r="G23" s="23"/>
      <c r="H23" s="25"/>
      <c r="I23" s="21"/>
      <c r="J23" s="21"/>
      <c r="K23" s="21"/>
      <c r="L23" s="27" t="str">
        <f>IF(COUNT(F23:G23)&lt;2,"",IF(F23=0,"不适用",G23/F23))</f>
      </c>
      <c r="M23" s="28" t="str">
        <f>IF(COUNT(G23:H23)&lt;2,"",IF(G23=0,"不适用",ROUND(H23/G23,2)))</f>
      </c>
    </row>
    <row r="24" ht="34" customHeight="1">
      <c r="A24" s="20"/>
      <c r="B24" s="20"/>
      <c r="C24" s="22"/>
      <c r="D24" s="22"/>
      <c r="E24" s="22"/>
      <c r="F24" s="22"/>
      <c r="G24" s="22"/>
      <c r="H24" s="24"/>
      <c r="I24" s="20"/>
      <c r="J24" s="20"/>
      <c r="K24" s="20"/>
      <c r="L24" s="27" t="str">
        <f>IF(COUNT(F24:G24)&lt;2,"",IF(F24=0,"不适用",G24/F24))</f>
      </c>
      <c r="M24" s="28" t="str">
        <f>IF(COUNT(G24:H24)&lt;2,"",IF(G24=0,"不适用",ROUND(H24/G24,2)))</f>
      </c>
    </row>
    <row r="25" ht="34" customHeight="1">
      <c r="A25" s="21"/>
      <c r="B25" s="21"/>
      <c r="C25" s="23"/>
      <c r="D25" s="23"/>
      <c r="E25" s="23"/>
      <c r="F25" s="23"/>
      <c r="G25" s="23"/>
      <c r="H25" s="25"/>
      <c r="I25" s="21"/>
      <c r="J25" s="21"/>
      <c r="K25" s="21"/>
      <c r="L25" s="27" t="str">
        <f>IF(COUNT(F25:G25)&lt;2,"",IF(F25=0,"不适用",G25/F25))</f>
      </c>
      <c r="M25" s="28" t="str">
        <f>IF(COUNT(G25:H25)&lt;2,"",IF(G25=0,"不适用",ROUND(H25/G25,2)))</f>
      </c>
    </row>
    <row r="26" ht="34" customHeight="1">
      <c r="A26" s="20"/>
      <c r="B26" s="20"/>
      <c r="C26" s="22"/>
      <c r="D26" s="22"/>
      <c r="E26" s="22"/>
      <c r="F26" s="22"/>
      <c r="G26" s="22"/>
      <c r="H26" s="24"/>
      <c r="I26" s="20"/>
      <c r="J26" s="20"/>
      <c r="K26" s="20"/>
      <c r="L26" s="27" t="str">
        <f>IF(COUNT(F26:G26)&lt;2,"",IF(F26=0,"不适用",G26/F26))</f>
      </c>
      <c r="M26" s="28" t="str">
        <f>IF(COUNT(G26:H26)&lt;2,"",IF(G26=0,"不适用",ROUND(H26/G26,2)))</f>
      </c>
    </row>
    <row r="27" ht="34" customHeight="1">
      <c r="A27" s="21"/>
      <c r="B27" s="21"/>
      <c r="C27" s="23"/>
      <c r="D27" s="23"/>
      <c r="E27" s="23"/>
      <c r="F27" s="23"/>
      <c r="G27" s="23"/>
      <c r="H27" s="25"/>
      <c r="I27" s="21"/>
      <c r="J27" s="21"/>
      <c r="K27" s="21"/>
      <c r="L27" s="27" t="str">
        <f>IF(COUNT(F27:G27)&lt;2,"",IF(F27=0,"不适用",G27/F27))</f>
      </c>
      <c r="M27" s="28" t="str">
        <f>IF(COUNT(G27:H27)&lt;2,"",IF(G27=0,"不适用",ROUND(H27/G27,2)))</f>
      </c>
    </row>
    <row r="28" ht="34" customHeight="1">
      <c r="A28" s="20"/>
      <c r="B28" s="20"/>
      <c r="C28" s="22"/>
      <c r="D28" s="22"/>
      <c r="E28" s="22"/>
      <c r="F28" s="22"/>
      <c r="G28" s="22"/>
      <c r="H28" s="24"/>
      <c r="I28" s="20"/>
      <c r="J28" s="20"/>
      <c r="K28" s="20"/>
      <c r="L28" s="27" t="str">
        <f>IF(COUNT(F28:G28)&lt;2,"",IF(F28=0,"不适用",G28/F28))</f>
      </c>
      <c r="M28" s="28" t="str">
        <f>IF(COUNT(G28:H28)&lt;2,"",IF(G28=0,"不适用",ROUND(H28/G28,2)))</f>
      </c>
    </row>
    <row r="29" ht="34" customHeight="1">
      <c r="A29" s="21"/>
      <c r="B29" s="21"/>
      <c r="C29" s="23"/>
      <c r="D29" s="23"/>
      <c r="E29" s="23"/>
      <c r="F29" s="23"/>
      <c r="G29" s="23"/>
      <c r="H29" s="25"/>
      <c r="I29" s="21"/>
      <c r="J29" s="21"/>
      <c r="K29" s="21"/>
      <c r="L29" s="27" t="str">
        <f>IF(COUNT(F29:G29)&lt;2,"",IF(F29=0,"不适用",G29/F29))</f>
      </c>
      <c r="M29" s="28" t="str">
        <f>IF(COUNT(G29:H29)&lt;2,"",IF(G29=0,"不适用",ROUND(H29/G29,2)))</f>
      </c>
    </row>
    <row r="30" ht="34" customHeight="1">
      <c r="A30" s="20"/>
      <c r="B30" s="20"/>
      <c r="C30" s="22"/>
      <c r="D30" s="22"/>
      <c r="E30" s="22"/>
      <c r="F30" s="22"/>
      <c r="G30" s="22"/>
      <c r="H30" s="24"/>
      <c r="I30" s="20"/>
      <c r="J30" s="20"/>
      <c r="K30" s="20"/>
      <c r="L30" s="27" t="str">
        <f>IF(COUNT(F30:G30)&lt;2,"",IF(F30=0,"不适用",G30/F30))</f>
      </c>
      <c r="M30" s="28" t="str">
        <f>IF(COUNT(G30:H30)&lt;2,"",IF(G30=0,"不适用",ROUND(H30/G30,2)))</f>
      </c>
    </row>
    <row r="31" ht="34" customHeight="1">
      <c r="A31" s="21"/>
      <c r="B31" s="21"/>
      <c r="C31" s="23"/>
      <c r="D31" s="23"/>
      <c r="E31" s="23"/>
      <c r="F31" s="23"/>
      <c r="G31" s="23"/>
      <c r="H31" s="25"/>
      <c r="I31" s="21"/>
      <c r="J31" s="21"/>
      <c r="K31" s="21"/>
      <c r="L31" s="27" t="str">
        <f>IF(COUNT(F31:G31)&lt;2,"",IF(F31=0,"不适用",G31/F31))</f>
      </c>
      <c r="M31" s="28" t="str">
        <f>IF(COUNT(G31:H31)&lt;2,"",IF(G31=0,"不适用",ROUND(H31/G31,2)))</f>
      </c>
    </row>
    <row r="32" ht="34" customHeight="1">
      <c r="A32" s="20"/>
      <c r="B32" s="20"/>
      <c r="C32" s="22"/>
      <c r="D32" s="22"/>
      <c r="E32" s="22"/>
      <c r="F32" s="22"/>
      <c r="G32" s="22"/>
      <c r="H32" s="24"/>
      <c r="I32" s="20"/>
      <c r="J32" s="20"/>
      <c r="K32" s="20"/>
      <c r="L32" s="27" t="str">
        <f>IF(COUNT(F32:G32)&lt;2,"",IF(F32=0,"不适用",G32/F32))</f>
      </c>
      <c r="M32" s="28" t="str">
        <f>IF(COUNT(G32:H32)&lt;2,"",IF(G32=0,"不适用",ROUND(H32/G32,2)))</f>
      </c>
    </row>
    <row r="33" ht="34" customHeight="1">
      <c r="A33" s="21"/>
      <c r="B33" s="21"/>
      <c r="C33" s="23"/>
      <c r="D33" s="23"/>
      <c r="E33" s="23"/>
      <c r="F33" s="23"/>
      <c r="G33" s="23"/>
      <c r="H33" s="25"/>
      <c r="I33" s="21"/>
      <c r="J33" s="21"/>
      <c r="K33" s="21"/>
      <c r="L33" s="27" t="str">
        <f>IF(COUNT(F33:G33)&lt;2,"",IF(F33=0,"不适用",G33/F33))</f>
      </c>
      <c r="M33" s="28" t="str">
        <f>IF(COUNT(G33:H33)&lt;2,"",IF(G33=0,"不适用",ROUND(H33/G33,2)))</f>
      </c>
    </row>
    <row r="34" ht="34" customHeight="1">
      <c r="A34" s="20"/>
      <c r="B34" s="20"/>
      <c r="C34" s="22"/>
      <c r="D34" s="22"/>
      <c r="E34" s="22"/>
      <c r="F34" s="22"/>
      <c r="G34" s="22"/>
      <c r="H34" s="24"/>
      <c r="I34" s="20"/>
      <c r="J34" s="20"/>
      <c r="K34" s="20"/>
      <c r="L34" s="27" t="str">
        <f>IF(COUNT(F34:G34)&lt;2,"",IF(F34=0,"不适用",G34/F34))</f>
      </c>
      <c r="M34" s="28" t="str">
        <f>IF(COUNT(G34:H34)&lt;2,"",IF(G34=0,"不适用",ROUND(H34/G34,2)))</f>
      </c>
    </row>
    <row r="35" ht="34" customHeight="1">
      <c r="A35" s="21"/>
      <c r="B35" s="21"/>
      <c r="C35" s="23"/>
      <c r="D35" s="23"/>
      <c r="E35" s="23"/>
      <c r="F35" s="23"/>
      <c r="G35" s="23"/>
      <c r="H35" s="25"/>
      <c r="I35" s="21"/>
      <c r="J35" s="21"/>
      <c r="K35" s="21"/>
      <c r="L35" s="27" t="str">
        <f>IF(COUNT(F35:G35)&lt;2,"",IF(F35=0,"不适用",G35/F35))</f>
      </c>
      <c r="M35" s="28" t="str">
        <f>IF(COUNT(G35:H35)&lt;2,"",IF(G35=0,"不适用",ROUND(H35/G35,2)))</f>
      </c>
    </row>
    <row r="36" ht="34" customHeight="1">
      <c r="A36" s="20"/>
      <c r="B36" s="20"/>
      <c r="C36" s="22"/>
      <c r="D36" s="22"/>
      <c r="E36" s="22"/>
      <c r="F36" s="22"/>
      <c r="G36" s="22"/>
      <c r="H36" s="24"/>
      <c r="I36" s="20"/>
      <c r="J36" s="20"/>
      <c r="K36" s="20"/>
      <c r="L36" s="27" t="str">
        <f>IF(COUNT(F36:G36)&lt;2,"",IF(F36=0,"不适用",G36/F36))</f>
      </c>
      <c r="M36" s="28" t="str">
        <f>IF(COUNT(G36:H36)&lt;2,"",IF(G36=0,"不适用",ROUND(H36/G36,2)))</f>
      </c>
    </row>
    <row r="37" ht="30" customHeight="1">
      <c r="A37" s="32" t="str">
        <v>筛选汇总</v>
      </c>
      <c r="B37" s="32"/>
      <c r="C37" s="33" t="str">
        <f>IF(COUNT(C8:C36)=0,"",SUBTOTAL(109,C8:C36))</f>
      </c>
      <c r="D37" s="33" t="str">
        <f>IF(COUNT(D8:D36)=0,"",SUBTOTAL(109,D8:D36))</f>
      </c>
      <c r="E37" s="33" t="str">
        <f>IF(COUNT(E8:E36)=0,"",SUBTOTAL(109,E8:E36))</f>
      </c>
      <c r="F37" s="33" t="str">
        <f>IF(COUNT(F8:F36)=0,"",SUBTOTAL(109,F8:F36))</f>
      </c>
      <c r="G37" s="33" t="str">
        <f>IF(COUNT(G8:G36)=0,"",SUBTOTAL(109,G8:G36))</f>
      </c>
      <c r="H37" s="33" t="str">
        <f>IF(COUNT(H8:H36)=0,"",SUBTOTAL(109,H8:H36))</f>
      </c>
      <c r="I37" s="32"/>
      <c r="J37" s="32"/>
      <c r="K37" s="32"/>
      <c r="L37" s="32"/>
      <c r="M37" s="3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</sheetData>
  <mergeCells>
    <mergeCell ref="A2:M2"/>
    <mergeCell ref="A3:M3"/>
    <mergeCell ref="A4:M4"/>
    <mergeCell ref="A5:M5"/>
    <mergeCell ref="A6:D6"/>
    <mergeCell ref="E6:H6"/>
    <mergeCell ref="I6:M6"/>
  </mergeCells>
  <conditionalFormatting sqref="L8:L36">
    <cfRule type="cellIs" dxfId="0" priority="1" operator="lessThan">
      <formula>0</formula>
    </cfRule>
  </conditionalFormatting>
  <conditionalFormatting sqref="M8:M36">
    <cfRule type="cellIs" dxfId="1" priority="2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c9030a7a38634f8a"/>
  </tableParts>
</worksheet>
</file>